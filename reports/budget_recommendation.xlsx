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Budget Recommendation" sheetId="2" state="visible" r:id="rId2"/>
    <sheet xmlns:r="http://schemas.openxmlformats.org/officeDocument/2006/relationships" name="Incrementality Results" sheetId="3" state="visible" r:id="rId3"/>
    <sheet xmlns:r="http://schemas.openxmlformats.org/officeDocument/2006/relationships" name="Attribution Mode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x&quot;"/>
    <numFmt numFmtId="165" formatCode="0.0000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b val="1"/>
      <color rgb="00FFFFFF"/>
      <sz val="9"/>
    </font>
    <font>
      <name val="Arial"/>
      <b val="1"/>
      <color rgb="002E75B6"/>
      <sz val="14"/>
    </font>
    <font>
      <name val="Arial"/>
      <b val="1"/>
      <color rgb="001E8449"/>
      <sz val="14"/>
    </font>
    <font>
      <name val="Arial"/>
      <b val="1"/>
      <color rgb="00C0392B"/>
      <sz val="14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7D6608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C0392B"/>
      <sz val="10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color rgb="000000FF"/>
      <sz val="10"/>
    </font>
    <font>
      <name val="Arial"/>
      <b val="1"/>
      <color rgb="00FFFFFF"/>
      <sz val="11"/>
    </font>
    <font>
      <name val="Arial"/>
      <b val="1"/>
      <color rgb="00FFFFFF"/>
      <sz val="13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1E8449"/>
      </patternFill>
    </fill>
    <fill>
      <patternFill patternType="solid">
        <fgColor rgb="00C0392B"/>
      </patternFill>
    </fill>
    <fill>
      <patternFill patternType="solid">
        <fgColor rgb="00FFF9C4"/>
      </patternFill>
    </fill>
    <fill>
      <patternFill patternType="solid">
        <fgColor rgb="00FADBD8"/>
      </patternFill>
    </fill>
    <fill>
      <patternFill patternType="solid">
        <fgColor rgb="00FFFFFF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left" vertical="center" wrapText="1"/>
    </xf>
    <xf numFmtId="3" fontId="15" fillId="9" borderId="1" applyAlignment="1" pivotButton="0" quotePrefix="0" xfId="0">
      <alignment horizontal="center" vertical="center" wrapText="1"/>
    </xf>
    <xf numFmtId="3" fontId="11" fillId="9" borderId="1" applyAlignment="1" pivotButton="0" quotePrefix="0" xfId="0">
      <alignment horizontal="center" vertical="center" wrapText="1"/>
    </xf>
    <xf numFmtId="164" fontId="15" fillId="9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left" vertical="center" wrapText="1"/>
    </xf>
    <xf numFmtId="3" fontId="15" fillId="8" borderId="1" applyAlignment="1" pivotButton="0" quotePrefix="0" xfId="0">
      <alignment horizontal="center" vertical="center" wrapText="1"/>
    </xf>
    <xf numFmtId="3" fontId="11" fillId="8" borderId="1" applyAlignment="1" pivotButton="0" quotePrefix="0" xfId="0">
      <alignment horizontal="center" vertical="center" wrapText="1"/>
    </xf>
    <xf numFmtId="164" fontId="15" fillId="8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left" vertical="center" wrapText="1"/>
    </xf>
    <xf numFmtId="3" fontId="15" fillId="7" borderId="1" applyAlignment="1" pivotButton="0" quotePrefix="0" xfId="0">
      <alignment horizontal="center" vertical="center" wrapText="1"/>
    </xf>
    <xf numFmtId="3" fontId="11" fillId="7" borderId="1" applyAlignment="1" pivotButton="0" quotePrefix="0" xfId="0">
      <alignment horizontal="center" vertical="center" wrapText="1"/>
    </xf>
    <xf numFmtId="164" fontId="15" fillId="7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left" vertical="center" wrapText="1"/>
    </xf>
    <xf numFmtId="3" fontId="16" fillId="2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left" vertical="center" wrapText="1"/>
    </xf>
    <xf numFmtId="10" fontId="11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164" fontId="11" fillId="9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left" vertical="center" wrapText="1"/>
    </xf>
    <xf numFmtId="10" fontId="11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164" fontId="11" fillId="7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left" vertical="center" wrapText="1"/>
    </xf>
    <xf numFmtId="10" fontId="11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164" fontId="11" fillId="8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0" fillId="10" borderId="1" pivotButton="0" quotePrefix="0" xfId="0"/>
    <xf numFmtId="0" fontId="11" fillId="0" borderId="0" applyAlignment="1" pivotButton="0" quotePrefix="0" xfId="0">
      <alignment horizontal="left" vertical="center" wrapText="1"/>
    </xf>
    <xf numFmtId="0" fontId="0" fillId="9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10" fillId="8" borderId="1" applyAlignment="1" pivotButton="0" quotePrefix="0" xfId="0">
      <alignment horizontal="left" vertical="center" wrapText="1"/>
    </xf>
    <xf numFmtId="165" fontId="11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center" wrapText="1"/>
    </xf>
    <xf numFmtId="165" fontId="11" fillId="7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left" vertical="center" wrapText="1"/>
    </xf>
    <xf numFmtId="165" fontId="1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55" customWidth="1" min="3" max="3"/>
    <col width="20" customWidth="1" min="4" max="4"/>
    <col width="22" customWidth="1" min="5" max="5"/>
  </cols>
  <sheetData>
    <row r="1" ht="40" customHeight="1">
      <c r="A1" s="1" t="inlineStr">
        <is>
          <t>AD CAMPAIGN ATTRIBUTION &amp; BUDGET RECOMMENDATION</t>
        </is>
      </c>
    </row>
    <row r="2" ht="22" customHeight="1">
      <c r="A2" s="2" t="inlineStr">
        <is>
          <t>Generated: 10 June 2026   |   Total Budget: ₹1,550,000</t>
        </is>
      </c>
    </row>
    <row r="4" ht="18" customHeight="1"/>
    <row r="5" ht="14" customHeight="1">
      <c r="A5" s="3" t="inlineStr">
        <is>
          <t>Total Channels</t>
        </is>
      </c>
      <c r="B5" s="3" t="inlineStr">
        <is>
          <t>Channels Tested</t>
        </is>
      </c>
      <c r="C5" s="4" t="inlineStr">
        <is>
          <t>Channels w/ Positive ROAS</t>
        </is>
      </c>
      <c r="D5" s="5" t="inlineStr">
        <is>
          <t>Estimated Wasted Spend</t>
        </is>
      </c>
      <c r="E5" s="4" t="inlineStr">
        <is>
          <t>Projected Revenue Gain</t>
        </is>
      </c>
    </row>
    <row r="6"/>
    <row r="7" ht="26" customHeight="1">
      <c r="A7" s="6" t="inlineStr">
        <is>
          <t>6</t>
        </is>
      </c>
      <c r="B7" s="6" t="inlineStr">
        <is>
          <t>6</t>
        </is>
      </c>
      <c r="C7" s="7" t="inlineStr">
        <is>
          <t>2</t>
        </is>
      </c>
      <c r="D7" s="8" t="inlineStr">
        <is>
          <t>₹1,521,436</t>
        </is>
      </c>
      <c r="E7" s="7" t="inlineStr">
        <is>
          <t>₹1,605,709</t>
        </is>
      </c>
    </row>
    <row r="8"/>
    <row r="10" ht="22" customHeight="1">
      <c r="A10" s="9" t="inlineStr">
        <is>
          <t>KEY FINDINGS</t>
        </is>
      </c>
    </row>
    <row r="11" ht="18" customHeight="1">
      <c r="A11" s="10" t="inlineStr">
        <is>
          <t>Action</t>
        </is>
      </c>
      <c r="B11" s="10" t="inlineStr">
        <is>
          <t>Channel</t>
        </is>
      </c>
      <c r="C11" s="10" t="inlineStr">
        <is>
          <t>Insight</t>
        </is>
      </c>
    </row>
    <row r="12" ht="18" customHeight="1">
      <c r="A12" s="11" t="inlineStr">
        <is>
          <t>🟡 REDUCE</t>
        </is>
      </c>
      <c r="B12" s="12" t="inlineStr">
        <is>
          <t>Meta Feed</t>
        </is>
      </c>
      <c r="C12" s="13" t="inlineStr">
        <is>
          <t>Sub-1x ROAS 0.01x — spending more than earning</t>
        </is>
      </c>
    </row>
    <row r="13" ht="18" customHeight="1">
      <c r="A13" s="11" t="inlineStr">
        <is>
          <t>🟡 REDUCE</t>
        </is>
      </c>
      <c r="B13" s="12" t="inlineStr">
        <is>
          <t>Instagram Stories</t>
        </is>
      </c>
      <c r="C13" s="13" t="inlineStr">
        <is>
          <t>Sub-1x ROAS -0.06x — spending more than earning</t>
        </is>
      </c>
    </row>
    <row r="14" ht="18" customHeight="1">
      <c r="A14" s="11" t="inlineStr">
        <is>
          <t>🟡 REDUCE</t>
        </is>
      </c>
      <c r="B14" s="12" t="inlineStr">
        <is>
          <t>Google Search</t>
        </is>
      </c>
      <c r="C14" s="13" t="inlineStr">
        <is>
          <t>Sub-1x ROAS -0.24x — spending more than earning</t>
        </is>
      </c>
    </row>
    <row r="15" ht="18" customHeight="1">
      <c r="A15" s="11" t="inlineStr">
        <is>
          <t>🟡 REDUCE</t>
        </is>
      </c>
      <c r="B15" s="12" t="inlineStr">
        <is>
          <t>Email</t>
        </is>
      </c>
      <c r="C15" s="13" t="inlineStr">
        <is>
          <t>Sub-1x ROAS -1.09x — spending more than earning</t>
        </is>
      </c>
    </row>
    <row r="16" ht="18" customHeight="1">
      <c r="A16" s="14" t="inlineStr">
        <is>
          <t>🔴 STOP</t>
        </is>
      </c>
      <c r="B16" s="12" t="inlineStr">
        <is>
          <t>YouTube</t>
        </is>
      </c>
      <c r="C16" s="13" t="inlineStr">
        <is>
          <t>Negative ROAS -1.33x — proven to hurt conversions</t>
        </is>
      </c>
    </row>
  </sheetData>
  <mergeCells count="13">
    <mergeCell ref="A5:A6"/>
    <mergeCell ref="E5:E6"/>
    <mergeCell ref="A1:G1"/>
    <mergeCell ref="C7:C8"/>
    <mergeCell ref="A7:A8"/>
    <mergeCell ref="B7:B8"/>
    <mergeCell ref="A2:G2"/>
    <mergeCell ref="D7:D8"/>
    <mergeCell ref="E7:E8"/>
    <mergeCell ref="D5:D6"/>
    <mergeCell ref="B5:B6"/>
    <mergeCell ref="A10:G10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16" customWidth="1" min="4" max="4"/>
    <col width="12" customWidth="1" min="5" max="5"/>
    <col width="22" customWidth="1" min="6" max="6"/>
    <col width="22" customWidth="1" min="7" max="7"/>
    <col width="18" customWidth="1" min="8" max="8"/>
  </cols>
  <sheetData>
    <row r="1" ht="36" customHeight="1">
      <c r="A1" s="15" t="inlineStr">
        <is>
          <t>BUDGET REALLOCATION RECOMMENDATION — CMO VIEW</t>
        </is>
      </c>
    </row>
    <row r="2" ht="16" customHeight="1">
      <c r="A2" s="16" t="inlineStr">
        <is>
          <t>Blue = hardcoded inputs  |  Black = calculated formulas  |  Green = positive impact  |  Red = reduce/stop</t>
        </is>
      </c>
    </row>
    <row r="4" ht="30" customHeight="1">
      <c r="A4" s="10" t="inlineStr">
        <is>
          <t>Channel</t>
        </is>
      </c>
      <c r="B4" s="10" t="inlineStr">
        <is>
          <t>Current Spend (₹)</t>
        </is>
      </c>
      <c r="C4" s="10" t="inlineStr">
        <is>
          <t>Recommended (₹)</t>
        </is>
      </c>
      <c r="D4" s="10" t="inlineStr">
        <is>
          <t>Δ Spend (₹)</t>
        </is>
      </c>
      <c r="E4" s="10" t="inlineStr">
        <is>
          <t>Inc. ROAS</t>
        </is>
      </c>
      <c r="F4" s="10" t="inlineStr">
        <is>
          <t>Current Revenue (₹)</t>
        </is>
      </c>
      <c r="G4" s="10" t="inlineStr">
        <is>
          <t>Projected Revenue (₹)</t>
        </is>
      </c>
      <c r="H4" s="10" t="inlineStr">
        <is>
          <t>Revenue Δ (₹)</t>
        </is>
      </c>
    </row>
    <row r="5" ht="20" customHeight="1">
      <c r="A5" s="17" t="inlineStr">
        <is>
          <t>Direct</t>
        </is>
      </c>
      <c r="B5" s="18" t="n">
        <v>19994</v>
      </c>
      <c r="C5" s="18" t="n">
        <v>775000</v>
      </c>
      <c r="D5" s="19">
        <f>C5-B5</f>
        <v/>
      </c>
      <c r="E5" s="20" t="n">
        <v>1.443</v>
      </c>
      <c r="F5" s="19">
        <f>B5*E5</f>
        <v/>
      </c>
      <c r="G5" s="19">
        <f>C5*E5</f>
        <v/>
      </c>
      <c r="H5" s="19">
        <f>G5-F5</f>
        <v/>
      </c>
    </row>
    <row r="6" ht="20" customHeight="1">
      <c r="A6" s="21" t="inlineStr">
        <is>
          <t>YouTube</t>
        </is>
      </c>
      <c r="B6" s="22" t="n">
        <v>240307</v>
      </c>
      <c r="C6" s="22" t="n">
        <v>0</v>
      </c>
      <c r="D6" s="23">
        <f>C6-B6</f>
        <v/>
      </c>
      <c r="E6" s="24" t="n">
        <v>-1.329</v>
      </c>
      <c r="F6" s="23">
        <f>B6*E6</f>
        <v/>
      </c>
      <c r="G6" s="23">
        <f>C6*E6</f>
        <v/>
      </c>
      <c r="H6" s="23">
        <f>G6-F6</f>
        <v/>
      </c>
    </row>
    <row r="7" ht="20" customHeight="1">
      <c r="A7" s="21" t="inlineStr">
        <is>
          <t>Google Search</t>
        </is>
      </c>
      <c r="B7" s="22" t="n">
        <v>600358</v>
      </c>
      <c r="C7" s="22" t="n">
        <v>0</v>
      </c>
      <c r="D7" s="23">
        <f>C7-B7</f>
        <v/>
      </c>
      <c r="E7" s="24" t="n">
        <v>-0.243</v>
      </c>
      <c r="F7" s="23">
        <f>B7*E7</f>
        <v/>
      </c>
      <c r="G7" s="23">
        <f>C7*E7</f>
        <v/>
      </c>
      <c r="H7" s="23">
        <f>G7-F7</f>
        <v/>
      </c>
    </row>
    <row r="8" ht="20" customHeight="1">
      <c r="A8" s="21" t="inlineStr">
        <is>
          <t>Email</t>
        </is>
      </c>
      <c r="B8" s="22" t="n">
        <v>39979</v>
      </c>
      <c r="C8" s="22" t="n">
        <v>0</v>
      </c>
      <c r="D8" s="23">
        <f>C8-B8</f>
        <v/>
      </c>
      <c r="E8" s="24" t="n">
        <v>-1.089</v>
      </c>
      <c r="F8" s="23">
        <f>B8*E8</f>
        <v/>
      </c>
      <c r="G8" s="23">
        <f>C8*E8</f>
        <v/>
      </c>
      <c r="H8" s="23">
        <f>G8-F8</f>
        <v/>
      </c>
    </row>
    <row r="9" ht="20" customHeight="1">
      <c r="A9" s="21" t="inlineStr">
        <is>
          <t>Instagram Stories</t>
        </is>
      </c>
      <c r="B9" s="22" t="n">
        <v>79906</v>
      </c>
      <c r="C9" s="22" t="n">
        <v>0</v>
      </c>
      <c r="D9" s="23">
        <f>C9-B9</f>
        <v/>
      </c>
      <c r="E9" s="24" t="n">
        <v>-0.061</v>
      </c>
      <c r="F9" s="23">
        <f>B9*E9</f>
        <v/>
      </c>
      <c r="G9" s="23">
        <f>C9*E9</f>
        <v/>
      </c>
      <c r="H9" s="23">
        <f>G9-F9</f>
        <v/>
      </c>
    </row>
    <row r="10" ht="20" customHeight="1">
      <c r="A10" s="25" t="inlineStr">
        <is>
          <t>Meta Feed</t>
        </is>
      </c>
      <c r="B10" s="26" t="n">
        <v>560886</v>
      </c>
      <c r="C10" s="26" t="n">
        <v>775000</v>
      </c>
      <c r="D10" s="27">
        <f>C10-B10</f>
        <v/>
      </c>
      <c r="E10" s="28" t="n">
        <v>0.012</v>
      </c>
      <c r="F10" s="27">
        <f>B10*E10</f>
        <v/>
      </c>
      <c r="G10" s="27">
        <f>C10*E10</f>
        <v/>
      </c>
      <c r="H10" s="27">
        <f>G10-F10</f>
        <v/>
      </c>
    </row>
    <row r="11" ht="24" customHeight="1">
      <c r="A11" s="29" t="inlineStr">
        <is>
          <t>TOTAL / PROJECTED GAIN</t>
        </is>
      </c>
      <c r="B11" s="30">
        <f>SUM(B5:B10)</f>
        <v/>
      </c>
      <c r="C11" s="30">
        <f>SUM(C5:C10)</f>
        <v/>
      </c>
      <c r="D11" s="31" t="n"/>
      <c r="E11" s="31" t="n"/>
      <c r="F11" s="30">
        <f>SUM(F5:F10)</f>
        <v/>
      </c>
      <c r="G11" s="30">
        <f>SUM(G5:G10)</f>
        <v/>
      </c>
      <c r="H11" s="30">
        <f>SUM(H5:H10)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4" customWidth="1" min="5" max="5"/>
    <col width="16" customWidth="1" min="6" max="6"/>
    <col width="10" customWidth="1" min="7" max="7"/>
    <col width="16" customWidth="1" min="8" max="8"/>
    <col width="16" customWidth="1" min="9" max="9"/>
    <col width="45" customWidth="1" min="10" max="10"/>
  </cols>
  <sheetData>
    <row r="1" ht="32" customHeight="1">
      <c r="A1" s="32" t="inlineStr">
        <is>
          <t>INCREMENTALITY TEST RESULTS — 70/30 Holdout Split</t>
        </is>
      </c>
    </row>
    <row r="3" ht="28" customHeight="1">
      <c r="A3" s="10" t="inlineStr">
        <is>
          <t>Channel</t>
        </is>
      </c>
      <c r="B3" s="10" t="inlineStr">
        <is>
          <t>Test N</t>
        </is>
      </c>
      <c r="C3" s="10" t="inlineStr">
        <is>
          <t>Holdout N</t>
        </is>
      </c>
      <c r="D3" s="10" t="inlineStr">
        <is>
          <t>Test CVR</t>
        </is>
      </c>
      <c r="E3" s="10" t="inlineStr">
        <is>
          <t>Holdout CVR</t>
        </is>
      </c>
      <c r="F3" s="10" t="inlineStr">
        <is>
          <t>Incremental Rate</t>
        </is>
      </c>
      <c r="G3" s="10" t="inlineStr">
        <is>
          <t>P-Value</t>
        </is>
      </c>
      <c r="H3" s="10" t="inlineStr">
        <is>
          <t>Significant (95%)</t>
        </is>
      </c>
      <c r="I3" s="10" t="inlineStr">
        <is>
          <t>Incremental ROAS</t>
        </is>
      </c>
      <c r="J3" s="10" t="inlineStr">
        <is>
          <t>Verdict</t>
        </is>
      </c>
    </row>
    <row r="4" ht="18" customHeight="1">
      <c r="A4" s="33" t="inlineStr">
        <is>
          <t>Direct</t>
        </is>
      </c>
      <c r="B4" s="19" t="n">
        <v>115140</v>
      </c>
      <c r="C4" s="19" t="n">
        <v>49346</v>
      </c>
      <c r="D4" s="34" t="n">
        <v>0.0998</v>
      </c>
      <c r="E4" s="34" t="n">
        <v>0.1005</v>
      </c>
      <c r="F4" s="34" t="n">
        <v>-0.0007</v>
      </c>
      <c r="G4" s="35" t="n">
        <v>0.6736</v>
      </c>
      <c r="H4" s="35" t="b">
        <v>0</v>
      </c>
      <c r="I4" s="36" t="n">
        <v>1.443</v>
      </c>
      <c r="J4" s="35" t="inlineStr">
        <is>
          <t>⚠️  Inconclusive — not statistically significant</t>
        </is>
      </c>
    </row>
    <row r="5" ht="18" customHeight="1">
      <c r="A5" s="37" t="inlineStr">
        <is>
          <t>Meta Feed</t>
        </is>
      </c>
      <c r="B5" s="27" t="n">
        <v>191824</v>
      </c>
      <c r="C5" s="27" t="n">
        <v>82211</v>
      </c>
      <c r="D5" s="38" t="n">
        <v>0.0806</v>
      </c>
      <c r="E5" s="38" t="n">
        <v>0.0814</v>
      </c>
      <c r="F5" s="38" t="n">
        <v>-0.0008</v>
      </c>
      <c r="G5" s="39" t="n">
        <v>0.4947</v>
      </c>
      <c r="H5" s="39" t="b">
        <v>0</v>
      </c>
      <c r="I5" s="40" t="n">
        <v>0.012</v>
      </c>
      <c r="J5" s="39" t="inlineStr">
        <is>
          <t>⚠️  Inconclusive — not statistically significant</t>
        </is>
      </c>
    </row>
    <row r="6" ht="18" customHeight="1">
      <c r="A6" s="41" t="inlineStr">
        <is>
          <t>Instagram Stories</t>
        </is>
      </c>
      <c r="B6" s="23" t="n">
        <v>115278</v>
      </c>
      <c r="C6" s="23" t="n">
        <v>49406</v>
      </c>
      <c r="D6" s="42" t="n">
        <v>0.0815</v>
      </c>
      <c r="E6" s="42" t="n">
        <v>0.0824</v>
      </c>
      <c r="F6" s="42" t="n">
        <v>-0.0009</v>
      </c>
      <c r="G6" s="43" t="n">
        <v>0.5517</v>
      </c>
      <c r="H6" s="43" t="b">
        <v>0</v>
      </c>
      <c r="I6" s="44" t="n">
        <v>-0.061</v>
      </c>
      <c r="J6" s="43" t="inlineStr">
        <is>
          <t>⚠️  Inconclusive — not statistically significant</t>
        </is>
      </c>
    </row>
    <row r="7" ht="18" customHeight="1">
      <c r="A7" s="41" t="inlineStr">
        <is>
          <t>Google Search</t>
        </is>
      </c>
      <c r="B7" s="23" t="n">
        <v>242780</v>
      </c>
      <c r="C7" s="23" t="n">
        <v>104050</v>
      </c>
      <c r="D7" s="42" t="n">
        <v>0.0915</v>
      </c>
      <c r="E7" s="42" t="n">
        <v>0.09229999999999999</v>
      </c>
      <c r="F7" s="42" t="n">
        <v>-0.0009</v>
      </c>
      <c r="G7" s="43" t="n">
        <v>0.4238</v>
      </c>
      <c r="H7" s="43" t="b">
        <v>0</v>
      </c>
      <c r="I7" s="44" t="n">
        <v>-0.243</v>
      </c>
      <c r="J7" s="43" t="inlineStr">
        <is>
          <t>⚠️  Inconclusive — not statistically significant</t>
        </is>
      </c>
    </row>
    <row r="8" ht="18" customHeight="1">
      <c r="A8" s="41" t="inlineStr">
        <is>
          <t>Email</t>
        </is>
      </c>
      <c r="B8" s="23" t="n">
        <v>115408</v>
      </c>
      <c r="C8" s="23" t="n">
        <v>49461</v>
      </c>
      <c r="D8" s="42" t="n">
        <v>0.09</v>
      </c>
      <c r="E8" s="42" t="n">
        <v>0.0925</v>
      </c>
      <c r="F8" s="42" t="n">
        <v>-0.0025</v>
      </c>
      <c r="G8" s="43" t="n">
        <v>0.0994</v>
      </c>
      <c r="H8" s="43" t="b">
        <v>0</v>
      </c>
      <c r="I8" s="44" t="n">
        <v>-1.089</v>
      </c>
      <c r="J8" s="43" t="inlineStr">
        <is>
          <t>⚠️  Inconclusive — not statistically significant</t>
        </is>
      </c>
    </row>
    <row r="9" ht="18" customHeight="1">
      <c r="A9" s="41" t="inlineStr">
        <is>
          <t>YouTube</t>
        </is>
      </c>
      <c r="B9" s="23" t="n">
        <v>192056</v>
      </c>
      <c r="C9" s="23" t="n">
        <v>82310</v>
      </c>
      <c r="D9" s="42" t="n">
        <v>0.0709</v>
      </c>
      <c r="E9" s="42" t="n">
        <v>0.0732</v>
      </c>
      <c r="F9" s="42" t="n">
        <v>-0.0023</v>
      </c>
      <c r="G9" s="43" t="n">
        <v>0.0333</v>
      </c>
      <c r="H9" s="43" t="b">
        <v>1</v>
      </c>
      <c r="I9" s="44" t="n">
        <v>-1.329</v>
      </c>
      <c r="J9" s="43" t="inlineStr">
        <is>
          <t>🔴 NEGATIVE — channel is hurting conversions</t>
        </is>
      </c>
    </row>
    <row r="12">
      <c r="A12" s="45" t="inlineStr">
        <is>
          <t>LEGEND:</t>
        </is>
      </c>
    </row>
    <row r="13">
      <c r="A13" s="46" t="inlineStr"/>
      <c r="B13" s="47" t="inlineStr">
        <is>
          <t>Strong — ROAS ≥ 3x → Increase budget</t>
        </is>
      </c>
    </row>
    <row r="14">
      <c r="A14" s="48" t="inlineStr"/>
      <c r="B14" s="47" t="inlineStr">
        <is>
          <t>Positive — ROAS 1–3x → Maintain</t>
        </is>
      </c>
    </row>
    <row r="15">
      <c r="A15" s="49" t="inlineStr"/>
      <c r="B15" s="47" t="inlineStr">
        <is>
          <t>Caution — ROAS &lt; 1x → Reduce budget</t>
        </is>
      </c>
    </row>
    <row r="16">
      <c r="A16" s="50" t="inlineStr"/>
      <c r="B16" s="47" t="inlineStr">
        <is>
          <t>Danger — Negative ROAS → Stop spending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2" customWidth="1" min="4" max="4"/>
    <col width="14" customWidth="1" min="5" max="5"/>
    <col width="16" customWidth="1" min="6" max="6"/>
    <col width="16" customWidth="1" min="7" max="7"/>
  </cols>
  <sheetData>
    <row r="1" ht="32" customHeight="1">
      <c r="A1" s="32" t="inlineStr">
        <is>
          <t>MULTI-TOUCH ATTRIBUTION MODEL COMPARISON</t>
        </is>
      </c>
    </row>
    <row r="2" ht="16" customHeight="1">
      <c r="A2" s="16" t="inlineStr">
        <is>
          <t>Higher 'Disagreement' score = models strongly disagree = don't trust any single model for that channel</t>
        </is>
      </c>
    </row>
    <row r="4" ht="28" customHeight="1">
      <c r="A4" s="10" t="inlineStr">
        <is>
          <t>Channel</t>
        </is>
      </c>
      <c r="B4" s="10" t="inlineStr">
        <is>
          <t>Last Click</t>
        </is>
      </c>
      <c r="C4" s="10" t="inlineStr">
        <is>
          <t>First Click</t>
        </is>
      </c>
      <c r="D4" s="10" t="inlineStr">
        <is>
          <t>Linear</t>
        </is>
      </c>
      <c r="E4" s="10" t="inlineStr">
        <is>
          <t>Time Decay</t>
        </is>
      </c>
      <c r="F4" s="10" t="inlineStr">
        <is>
          <t>Data-Driven</t>
        </is>
      </c>
      <c r="G4" s="10" t="inlineStr">
        <is>
          <t>Disagreement</t>
        </is>
      </c>
    </row>
    <row r="5" ht="18" customHeight="1">
      <c r="A5" s="51" t="inlineStr">
        <is>
          <t>Direct</t>
        </is>
      </c>
      <c r="B5" s="42" t="n">
        <v>0.1751677517833462</v>
      </c>
      <c r="C5" s="42" t="n">
        <v>0.1107837329493212</v>
      </c>
      <c r="D5" s="42" t="n">
        <v>0.1235971595933738</v>
      </c>
      <c r="E5" s="42" t="n">
        <v>0.1562986689258891</v>
      </c>
      <c r="F5" s="42" t="n">
        <v>0.412651223727201</v>
      </c>
      <c r="G5" s="52" t="n">
        <v>0.1239</v>
      </c>
    </row>
    <row r="6" ht="18" customHeight="1">
      <c r="A6" s="53" t="inlineStr">
        <is>
          <t>Meta Feed</t>
        </is>
      </c>
      <c r="B6" s="38" t="n">
        <v>0.15072427552626</v>
      </c>
      <c r="C6" s="38" t="n">
        <v>0.1913121386162366</v>
      </c>
      <c r="D6" s="38" t="n">
        <v>0.2144020463820203</v>
      </c>
      <c r="E6" s="38" t="n">
        <v>0.1755620684495094</v>
      </c>
      <c r="F6" s="38" t="n">
        <v>0</v>
      </c>
      <c r="G6" s="54" t="n">
        <v>0.0851</v>
      </c>
    </row>
    <row r="7" ht="18" customHeight="1">
      <c r="A7" s="53" t="inlineStr">
        <is>
          <t>YouTube</t>
        </is>
      </c>
      <c r="B7" s="38" t="n">
        <v>0.0479295287308159</v>
      </c>
      <c r="C7" s="38" t="n">
        <v>0.1775367248365489</v>
      </c>
      <c r="D7" s="38" t="n">
        <v>0.1363545951838156</v>
      </c>
      <c r="E7" s="38" t="n">
        <v>0.080932174235526</v>
      </c>
      <c r="F7" s="38" t="n">
        <v>0</v>
      </c>
      <c r="G7" s="54" t="n">
        <v>0.0703</v>
      </c>
    </row>
    <row r="8" ht="18" customHeight="1">
      <c r="A8" s="53" t="inlineStr">
        <is>
          <t>Google Search</t>
        </is>
      </c>
      <c r="B8" s="38" t="n">
        <v>0.4201048834228123</v>
      </c>
      <c r="C8" s="38" t="n">
        <v>0.3187237048382476</v>
      </c>
      <c r="D8" s="38" t="n">
        <v>0.3314724925360601</v>
      </c>
      <c r="E8" s="38" t="n">
        <v>0.3863676127573519</v>
      </c>
      <c r="F8" s="38" t="n">
        <v>0.4298213925103556</v>
      </c>
      <c r="G8" s="54" t="n">
        <v>0.0505</v>
      </c>
    </row>
    <row r="9" ht="18" customHeight="1">
      <c r="A9" s="55" t="inlineStr">
        <is>
          <t>Instagram Stories</t>
        </is>
      </c>
      <c r="B9" s="34" t="n">
        <v>0.0809901489371065</v>
      </c>
      <c r="C9" s="34" t="n">
        <v>0.09823848318465001</v>
      </c>
      <c r="D9" s="34" t="n">
        <v>0.0893398748311542</v>
      </c>
      <c r="E9" s="34" t="n">
        <v>0.0837120836471577</v>
      </c>
      <c r="F9" s="34" t="n">
        <v>0</v>
      </c>
      <c r="G9" s="56" t="n">
        <v>0.0399</v>
      </c>
    </row>
    <row r="10" ht="18" customHeight="1">
      <c r="A10" s="55" t="inlineStr">
        <is>
          <t>Email</t>
        </is>
      </c>
      <c r="B10" s="34" t="n">
        <v>0.1250834115996589</v>
      </c>
      <c r="C10" s="34" t="n">
        <v>0.1034052155749955</v>
      </c>
      <c r="D10" s="34" t="n">
        <v>0.1048338314735759</v>
      </c>
      <c r="E10" s="34" t="n">
        <v>0.1171273919845657</v>
      </c>
      <c r="F10" s="34" t="n">
        <v>0.1575273837624434</v>
      </c>
      <c r="G10" s="56" t="n">
        <v>0.022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2026-06-09T18:37:52Z</dcterms:created>
  <dcterms:modified xmlns:dcterms="http://purl.org/dc/terms/" xmlns:xsi="http://www.w3.org/2001/XMLSchema-instance" xsi:type="dcterms:W3CDTF">2026-06-09T18:37:52Z</dcterms:modified>
</cp:coreProperties>
</file>